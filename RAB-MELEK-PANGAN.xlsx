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6B45"/>
      <sz val="16"/>
    </font>
    <font>
      <name val="Calibri"/>
      <b val="1"/>
      <sz val="12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B6B45"/>
      <sz val="10.5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B6B45"/>
      </patternFill>
    </fill>
    <fill>
      <patternFill patternType="solid">
        <fgColor rgb="00DDF2E5"/>
      </patternFill>
    </fill>
    <fill>
      <patternFill patternType="solid">
        <fgColor rgb="00F2F5F3"/>
      </patternFill>
    </fill>
  </fills>
  <borders count="2">
    <border>
      <left/>
      <right/>
      <top/>
      <bottom/>
      <diagonal/>
    </border>
    <border>
      <left style="thin">
        <color rgb="00BFCFC6"/>
      </left>
      <right style="thin">
        <color rgb="00BFCFC6"/>
      </right>
      <top style="thin">
        <color rgb="00BFCFC6"/>
      </top>
      <bottom style="thin">
        <color rgb="00BFCFC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0" fontId="6" fillId="4" borderId="1" pivotButton="0" quotePrefix="0" xfId="0"/>
    <xf numFmtId="0" fontId="6" fillId="4" borderId="1" applyAlignment="1" pivotButton="0" quotePrefix="0" xfId="0">
      <alignment horizontal="right"/>
    </xf>
    <xf numFmtId="3" fontId="6" fillId="4" borderId="1" pivotButton="0" quotePrefix="0" xfId="0"/>
    <xf numFmtId="0" fontId="7" fillId="2" borderId="1" pivotButton="0" quotePrefix="0" xfId="0"/>
    <xf numFmtId="0" fontId="7" fillId="2" borderId="1" applyAlignment="1" pivotButton="0" quotePrefix="0" xfId="0">
      <alignment horizontal="right"/>
    </xf>
    <xf numFmtId="3" fontId="7" fillId="2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8" customWidth="1" min="4" max="4"/>
    <col width="10" customWidth="1" min="5" max="5"/>
    <col width="17" customWidth="1" min="6" max="6"/>
    <col width="18" customWidth="1" min="7" max="7"/>
  </cols>
  <sheetData>
    <row r="1">
      <c r="A1" s="1" t="inlineStr">
        <is>
          <t>RENCANA ANGGARAN BIAYA (RAB)</t>
        </is>
      </c>
    </row>
    <row r="2">
      <c r="A2" s="2" t="inlineStr">
        <is>
          <t>MELEK PANGAN — Greenhouse Pemuda yang Dialiri Listrik dan Diukur Hasilnya</t>
        </is>
      </c>
    </row>
    <row r="3">
      <c r="A3" s="3" t="inlineStr">
        <is>
          <t>Lokasi: greenhouse hidroponik 6 x 12 m, Dusun Sompok, Kalurahan Sriharjo, Kapanewon Imogiri, Bantul, DIY</t>
        </is>
      </c>
    </row>
    <row r="4">
      <c r="A4" s="3" t="inlineStr">
        <is>
          <t>Pengusul: Tim MELEK PANGAN bersama Kelompok Tani Taruna Tani “Hijaunya Cinta” (28 anggota)  |  PLN SustainAction 2026 — kategori Sustainable Village</t>
        </is>
      </c>
    </row>
    <row r="6">
      <c r="A6" s="4" t="inlineStr">
        <is>
          <t>No</t>
        </is>
      </c>
      <c r="B6" s="4" t="inlineStr">
        <is>
          <t>Uraian</t>
        </is>
      </c>
      <c r="C6" s="4" t="inlineStr">
        <is>
          <t>Spesifikasi / keterangan</t>
        </is>
      </c>
      <c r="D6" s="4" t="inlineStr">
        <is>
          <t>Volume</t>
        </is>
      </c>
      <c r="E6" s="4" t="inlineStr">
        <is>
          <t>Satuan</t>
        </is>
      </c>
      <c r="F6" s="4" t="inlineStr">
        <is>
          <t>Harga satuan (Rp)</t>
        </is>
      </c>
      <c r="G6" s="4" t="inlineStr">
        <is>
          <t>Jumlah (Rp)</t>
        </is>
      </c>
    </row>
    <row r="7">
      <c r="A7" s="5" t="inlineStr">
        <is>
          <t>A. Pelengkapan greenhouse dan jalur produksi</t>
        </is>
      </c>
      <c r="B7" s="6" t="n"/>
      <c r="C7" s="6" t="n"/>
      <c r="D7" s="6" t="n"/>
      <c r="E7" s="6" t="n"/>
      <c r="F7" s="6" t="n"/>
      <c r="G7" s="6" t="n"/>
    </row>
    <row r="8">
      <c r="A8" s="7" t="n">
        <v>1</v>
      </c>
      <c r="B8" s="8" t="inlineStr">
        <is>
          <t>Talang produksi tambahan dan penopang</t>
        </is>
      </c>
      <c r="C8" s="8" t="inlineStr">
        <is>
          <t>melengkapi jalur yang belum terpakai</t>
        </is>
      </c>
      <c r="D8" s="7" t="n">
        <v>1</v>
      </c>
      <c r="E8" s="7" t="inlineStr">
        <is>
          <t>paket</t>
        </is>
      </c>
      <c r="F8" s="9" t="n">
        <v>6500000</v>
      </c>
      <c r="G8" s="9">
        <f>D8*F8</f>
        <v/>
      </c>
    </row>
    <row r="9">
      <c r="A9" s="7" t="n">
        <v>2</v>
      </c>
      <c r="B9" s="8" t="inlineStr">
        <is>
          <t>Rak semai, netpot, dan media rockwool awal</t>
        </is>
      </c>
      <c r="C9" s="8" t="inlineStr">
        <is>
          <t>penyemaian rutin 4 siklus</t>
        </is>
      </c>
      <c r="D9" s="7" t="n">
        <v>1</v>
      </c>
      <c r="E9" s="7" t="inlineStr">
        <is>
          <t>paket</t>
        </is>
      </c>
      <c r="F9" s="9" t="n">
        <v>2400000</v>
      </c>
      <c r="G9" s="9">
        <f>D9*F9</f>
        <v/>
      </c>
    </row>
    <row r="10">
      <c r="A10" s="7" t="n">
        <v>3</v>
      </c>
      <c r="B10" s="8" t="inlineStr">
        <is>
          <t>Perbaikan penutup dan kasa serangga</t>
        </is>
      </c>
      <c r="C10" s="8" t="inlineStr">
        <is>
          <t>greenhouse 6 x 12 m (72 m2)</t>
        </is>
      </c>
      <c r="D10" s="7" t="n">
        <v>1</v>
      </c>
      <c r="E10" s="7" t="inlineStr">
        <is>
          <t>paket</t>
        </is>
      </c>
      <c r="F10" s="9" t="n">
        <v>2600000</v>
      </c>
      <c r="G10" s="9">
        <f>D10*F10</f>
        <v/>
      </c>
    </row>
    <row r="11">
      <c r="A11" s="10" t="n"/>
      <c r="B11" s="11" t="n"/>
      <c r="C11" s="10" t="n"/>
      <c r="D11" s="10" t="n"/>
      <c r="E11" s="10" t="n"/>
      <c r="F11" s="10" t="n"/>
      <c r="G11" s="12">
        <f>SUM(G8:G10)</f>
        <v/>
      </c>
    </row>
    <row r="12">
      <c r="A12" s="5" t="inlineStr">
        <is>
          <t>B. Instalasi listrik dan penambahan daya</t>
        </is>
      </c>
      <c r="B12" s="6" t="n"/>
      <c r="C12" s="6" t="n"/>
      <c r="D12" s="6" t="n"/>
      <c r="E12" s="6" t="n"/>
      <c r="F12" s="6" t="n"/>
      <c r="G12" s="6" t="n"/>
    </row>
    <row r="13">
      <c r="A13" s="7" t="n">
        <v>1</v>
      </c>
      <c r="B13" s="8" t="inlineStr">
        <is>
          <t>Penambahan daya dan penyambungan PLN</t>
        </is>
      </c>
      <c r="C13" s="8" t="inlineStr">
        <is>
          <t>sesuai hasil survei PLN UP3 Bantul</t>
        </is>
      </c>
      <c r="D13" s="7" t="n">
        <v>1</v>
      </c>
      <c r="E13" s="7" t="inlineStr">
        <is>
          <t>paket</t>
        </is>
      </c>
      <c r="F13" s="9" t="n">
        <v>3800000</v>
      </c>
      <c r="G13" s="9">
        <f>D13*F13</f>
        <v/>
      </c>
    </row>
    <row r="14">
      <c r="A14" s="7" t="n">
        <v>2</v>
      </c>
      <c r="B14" s="8" t="inlineStr">
        <is>
          <t>Pemeriksaan dan perbaikan instalasi, panel, MCB, ELCB</t>
        </is>
      </c>
      <c r="C14" s="8" t="inlineStr">
        <is>
          <t>ruang lembap, sesuai standar</t>
        </is>
      </c>
      <c r="D14" s="7" t="n">
        <v>1</v>
      </c>
      <c r="E14" s="7" t="inlineStr">
        <is>
          <t>paket</t>
        </is>
      </c>
      <c r="F14" s="9" t="n">
        <v>4200000</v>
      </c>
      <c r="G14" s="9">
        <f>D14*F14</f>
        <v/>
      </c>
    </row>
    <row r="15">
      <c r="A15" s="7" t="n">
        <v>3</v>
      </c>
      <c r="B15" s="8" t="inlineStr">
        <is>
          <t>Kabel NYM 2,5 mm²</t>
        </is>
      </c>
      <c r="C15" s="8" t="inlineStr">
        <is>
          <t>instalasi dalam greenhouse</t>
        </is>
      </c>
      <c r="D15" s="7" t="n">
        <v>80</v>
      </c>
      <c r="E15" s="7" t="inlineStr">
        <is>
          <t>meter</t>
        </is>
      </c>
      <c r="F15" s="9" t="n">
        <v>22000</v>
      </c>
      <c r="G15" s="9">
        <f>D15*F15</f>
        <v/>
      </c>
    </row>
    <row r="16">
      <c r="A16" s="7" t="n">
        <v>4</v>
      </c>
      <c r="B16" s="8" t="inlineStr">
        <is>
          <t>Pembumian (grounding)</t>
        </is>
      </c>
      <c r="C16" s="8" t="inlineStr">
        <is>
          <t>batang arde dan kabel BC</t>
        </is>
      </c>
      <c r="D16" s="7" t="n">
        <v>2</v>
      </c>
      <c r="E16" s="7" t="inlineStr">
        <is>
          <t>titik</t>
        </is>
      </c>
      <c r="F16" s="9" t="n">
        <v>600000</v>
      </c>
      <c r="G16" s="9">
        <f>D16*F16</f>
        <v/>
      </c>
    </row>
    <row r="17">
      <c r="A17" s="7" t="n">
        <v>5</v>
      </c>
      <c r="B17" s="8" t="inlineStr">
        <is>
          <t>Stop kontak tahan lembap dan saklar</t>
        </is>
      </c>
      <c r="C17" s="8" t="inlineStr">
        <is>
          <t>titik pompa, kipas, kendali</t>
        </is>
      </c>
      <c r="D17" s="7" t="n">
        <v>1</v>
      </c>
      <c r="E17" s="7" t="inlineStr">
        <is>
          <t>paket</t>
        </is>
      </c>
      <c r="F17" s="9" t="n">
        <v>650000</v>
      </c>
      <c r="G17" s="9">
        <f>D17*F17</f>
        <v/>
      </c>
    </row>
    <row r="18">
      <c r="A18" s="7" t="n">
        <v>6</v>
      </c>
      <c r="B18" s="8" t="inlineStr">
        <is>
          <t>Jasa pemasangan tenaga bersertifikat</t>
        </is>
      </c>
      <c r="C18" s="8" t="inlineStr">
        <is>
          <t>termasuk pemeriksaan ulang sebelum serah terima</t>
        </is>
      </c>
      <c r="D18" s="7" t="n">
        <v>1</v>
      </c>
      <c r="E18" s="7" t="inlineStr">
        <is>
          <t>paket</t>
        </is>
      </c>
      <c r="F18" s="9" t="n">
        <v>3200000</v>
      </c>
      <c r="G18" s="9">
        <f>D18*F18</f>
        <v/>
      </c>
    </row>
    <row r="19">
      <c r="A19" s="10" t="n"/>
      <c r="B19" s="11" t="n"/>
      <c r="C19" s="10" t="n"/>
      <c r="D19" s="10" t="n"/>
      <c r="E19" s="10" t="n"/>
      <c r="F19" s="10" t="n"/>
      <c r="G19" s="12">
        <f>SUM(G13:G18)</f>
        <v/>
      </c>
    </row>
    <row r="20">
      <c r="A20" s="5" t="inlineStr">
        <is>
          <t>C. Sirkulasi nutrisi dan air</t>
        </is>
      </c>
      <c r="B20" s="6" t="n"/>
      <c r="C20" s="6" t="n"/>
      <c r="D20" s="6" t="n"/>
      <c r="E20" s="6" t="n"/>
      <c r="F20" s="6" t="n"/>
      <c r="G20" s="6" t="n"/>
    </row>
    <row r="21">
      <c r="A21" s="7" t="n">
        <v>1</v>
      </c>
      <c r="B21" s="8" t="inlineStr">
        <is>
          <t>Pompa sirkulasi larutan</t>
        </is>
      </c>
      <c r="C21" s="8" t="inlineStr">
        <is>
          <t>1 utama, 1 untuk jalur tambahan</t>
        </is>
      </c>
      <c r="D21" s="7" t="n">
        <v>2</v>
      </c>
      <c r="E21" s="7" t="inlineStr">
        <is>
          <t>unit</t>
        </is>
      </c>
      <c r="F21" s="9" t="n">
        <v>1150000</v>
      </c>
      <c r="G21" s="9">
        <f>D21*F21</f>
        <v/>
      </c>
    </row>
    <row r="22">
      <c r="A22" s="7" t="n">
        <v>2</v>
      </c>
      <c r="B22" s="8" t="inlineStr">
        <is>
          <t>Pompa cadangan dengan pengalih otomatis</t>
        </is>
      </c>
      <c r="C22" s="8" t="inlineStr">
        <is>
          <t>menyala sendiri bila pompa utama berhenti</t>
        </is>
      </c>
      <c r="D22" s="7" t="n">
        <v>1</v>
      </c>
      <c r="E22" s="7" t="inlineStr">
        <is>
          <t>unit</t>
        </is>
      </c>
      <c r="F22" s="9" t="n">
        <v>1850000</v>
      </c>
      <c r="G22" s="9">
        <f>D22*F22</f>
        <v/>
      </c>
    </row>
    <row r="23">
      <c r="A23" s="7" t="n">
        <v>3</v>
      </c>
      <c r="B23" s="8" t="inlineStr">
        <is>
          <t>Tandon larutan dan tandon air baku</t>
        </is>
      </c>
      <c r="C23" s="8" t="inlineStr">
        <is>
          <t>masing-masing 1 unit</t>
        </is>
      </c>
      <c r="D23" s="7" t="n">
        <v>2</v>
      </c>
      <c r="E23" s="7" t="inlineStr">
        <is>
          <t>unit</t>
        </is>
      </c>
      <c r="F23" s="9" t="n">
        <v>1450000</v>
      </c>
      <c r="G23" s="9">
        <f>D23*F23</f>
        <v/>
      </c>
    </row>
    <row r="24">
      <c r="A24" s="7" t="n">
        <v>4</v>
      </c>
      <c r="B24" s="8" t="inlineStr">
        <is>
          <t>Filter, aerator, selang, dan sambungan</t>
        </is>
      </c>
      <c r="C24" s="8" t="inlineStr">
        <is>
          <t>menjaga larutan bersih dan beroksigen</t>
        </is>
      </c>
      <c r="D24" s="7" t="n">
        <v>1</v>
      </c>
      <c r="E24" s="7" t="inlineStr">
        <is>
          <t>paket</t>
        </is>
      </c>
      <c r="F24" s="9" t="n">
        <v>1900000</v>
      </c>
      <c r="G24" s="9">
        <f>D24*F24</f>
        <v/>
      </c>
    </row>
    <row r="25">
      <c r="A25" s="7" t="n">
        <v>5</v>
      </c>
      <c r="B25" s="8" t="inlineStr">
        <is>
          <t>Meja pencampur nutrisi dan wadah stok A dan B</t>
        </is>
      </c>
      <c r="C25" s="8" t="inlineStr">
        <is>
          <t>pekerjaan yang kini dilakukan seadanya</t>
        </is>
      </c>
      <c r="D25" s="7" t="n">
        <v>1</v>
      </c>
      <c r="E25" s="7" t="inlineStr">
        <is>
          <t>paket</t>
        </is>
      </c>
      <c r="F25" s="9" t="n">
        <v>1500000</v>
      </c>
      <c r="G25" s="9">
        <f>D25*F25</f>
        <v/>
      </c>
    </row>
    <row r="26">
      <c r="A26" s="10" t="n"/>
      <c r="B26" s="11" t="n"/>
      <c r="C26" s="10" t="n"/>
      <c r="D26" s="10" t="n"/>
      <c r="E26" s="10" t="n"/>
      <c r="F26" s="10" t="n"/>
      <c r="G26" s="12">
        <f>SUM(G21:G25)</f>
        <v/>
      </c>
    </row>
    <row r="27">
      <c r="A27" s="5" t="inlineStr">
        <is>
          <t>D. Pengendalian mikroklimat</t>
        </is>
      </c>
      <c r="B27" s="6" t="n"/>
      <c r="C27" s="6" t="n"/>
      <c r="D27" s="6" t="n"/>
      <c r="E27" s="6" t="n"/>
      <c r="F27" s="6" t="n"/>
      <c r="G27" s="6" t="n"/>
    </row>
    <row r="28">
      <c r="A28" s="7" t="n">
        <v>1</v>
      </c>
      <c r="B28" s="8" t="inlineStr">
        <is>
          <t>Kipas exhaust 16 inci</t>
        </is>
      </c>
      <c r="C28" s="8" t="inlineStr">
        <is>
          <t>menurunkan suhu siang</t>
        </is>
      </c>
      <c r="D28" s="7" t="n">
        <v>2</v>
      </c>
      <c r="E28" s="7" t="inlineStr">
        <is>
          <t>unit</t>
        </is>
      </c>
      <c r="F28" s="9" t="n">
        <v>1450000</v>
      </c>
      <c r="G28" s="9">
        <f>D28*F28</f>
        <v/>
      </c>
    </row>
    <row r="29">
      <c r="A29" s="7" t="n">
        <v>2</v>
      </c>
      <c r="B29" s="8" t="inlineStr">
        <is>
          <t>Kipas sirkulasi dalam</t>
        </is>
      </c>
      <c r="C29" s="8" t="inlineStr">
        <is>
          <t>meratakan udara antar-jalur</t>
        </is>
      </c>
      <c r="D29" s="7" t="n">
        <v>2</v>
      </c>
      <c r="E29" s="7" t="inlineStr">
        <is>
          <t>unit</t>
        </is>
      </c>
      <c r="F29" s="9" t="n">
        <v>1250000</v>
      </c>
      <c r="G29" s="9">
        <f>D29*F29</f>
        <v/>
      </c>
    </row>
    <row r="30">
      <c r="A30" s="7" t="n">
        <v>3</v>
      </c>
      <c r="B30" s="8" t="inlineStr">
        <is>
          <t>Sistem pengabut, nozzle, dan pompa tekanan</t>
        </is>
      </c>
      <c r="C30" s="8" t="inlineStr">
        <is>
          <t>menahan suhu puncak di lereng terbuka</t>
        </is>
      </c>
      <c r="D30" s="7" t="n">
        <v>1</v>
      </c>
      <c r="E30" s="7" t="inlineStr">
        <is>
          <t>paket</t>
        </is>
      </c>
      <c r="F30" s="9" t="n">
        <v>3400000</v>
      </c>
      <c r="G30" s="9">
        <f>D30*F30</f>
        <v/>
      </c>
    </row>
    <row r="31">
      <c r="A31" s="7" t="n">
        <v>4</v>
      </c>
      <c r="B31" s="8" t="inlineStr">
        <is>
          <t>Jaring naungan dan rel</t>
        </is>
      </c>
      <c r="C31" s="8" t="inlineStr">
        <is>
          <t>dibuka-tutup sesuai cuaca</t>
        </is>
      </c>
      <c r="D31" s="7" t="n">
        <v>1</v>
      </c>
      <c r="E31" s="7" t="inlineStr">
        <is>
          <t>paket</t>
        </is>
      </c>
      <c r="F31" s="9" t="n">
        <v>1600000</v>
      </c>
      <c r="G31" s="9">
        <f>D31*F31</f>
        <v/>
      </c>
    </row>
    <row r="32">
      <c r="A32" s="7" t="n">
        <v>5</v>
      </c>
      <c r="B32" s="8" t="inlineStr">
        <is>
          <t>Termostat dan kontaktor</t>
        </is>
      </c>
      <c r="C32" s="8" t="inlineStr">
        <is>
          <t>kipas dan pengabut menyala otomatis</t>
        </is>
      </c>
      <c r="D32" s="7" t="n">
        <v>1</v>
      </c>
      <c r="E32" s="7" t="inlineStr">
        <is>
          <t>paket</t>
        </is>
      </c>
      <c r="F32" s="9" t="n">
        <v>900000</v>
      </c>
      <c r="G32" s="9">
        <f>D32*F32</f>
        <v/>
      </c>
    </row>
    <row r="33">
      <c r="A33" s="10" t="n"/>
      <c r="B33" s="11" t="n"/>
      <c r="C33" s="10" t="n"/>
      <c r="D33" s="10" t="n"/>
      <c r="E33" s="10" t="n"/>
      <c r="F33" s="10" t="n"/>
      <c r="G33" s="12">
        <f>SUM(G28:G32)</f>
        <v/>
      </c>
    </row>
    <row r="34">
      <c r="A34" s="5" t="inlineStr">
        <is>
          <t>E. Pemantauan jarak jauh dan papan data</t>
        </is>
      </c>
      <c r="B34" s="6" t="n"/>
      <c r="C34" s="6" t="n"/>
      <c r="D34" s="6" t="n"/>
      <c r="E34" s="6" t="n"/>
      <c r="F34" s="6" t="n"/>
      <c r="G34" s="6" t="n"/>
    </row>
    <row r="35">
      <c r="A35" s="7" t="n">
        <v>1</v>
      </c>
      <c r="B35" s="8" t="inlineStr">
        <is>
          <t>Node sensor suhu, kelembapan, dan cahaya</t>
        </is>
      </c>
      <c r="C35" s="8" t="inlineStr">
        <is>
          <t>rakitan sendiri, suku cadang tersedia di Bantul/Yogyakarta</t>
        </is>
      </c>
      <c r="D35" s="7" t="n">
        <v>3</v>
      </c>
      <c r="E35" s="7" t="inlineStr">
        <is>
          <t>unit</t>
        </is>
      </c>
      <c r="F35" s="9" t="n">
        <v>950000</v>
      </c>
      <c r="G35" s="9">
        <f>D35*F35</f>
        <v/>
      </c>
    </row>
    <row r="36">
      <c r="A36" s="7" t="n">
        <v>2</v>
      </c>
      <c r="B36" s="8" t="inlineStr">
        <is>
          <t>Sensor kualitas larutan (EC dan pH) beserta kalibrasi</t>
        </is>
      </c>
      <c r="C36" s="8" t="inlineStr">
        <is>
          <t>menempel pada kendali nutrisi yang sudah ada</t>
        </is>
      </c>
      <c r="D36" s="7" t="n">
        <v>1</v>
      </c>
      <c r="E36" s="7" t="inlineStr">
        <is>
          <t>paket</t>
        </is>
      </c>
      <c r="F36" s="9" t="n">
        <v>3600000</v>
      </c>
      <c r="G36" s="9">
        <f>D36*F36</f>
        <v/>
      </c>
    </row>
    <row r="37">
      <c r="A37" s="7" t="n">
        <v>3</v>
      </c>
      <c r="B37" s="8" t="inlineStr">
        <is>
          <t>Gateway, modem, dan kuota 12 bulan</t>
        </is>
      </c>
      <c r="C37" s="8" t="inlineStr">
        <is>
          <t>data terkirim setiap hari</t>
        </is>
      </c>
      <c r="D37" s="7" t="n">
        <v>1</v>
      </c>
      <c r="E37" s="7" t="inlineStr">
        <is>
          <t>paket</t>
        </is>
      </c>
      <c r="F37" s="9" t="n">
        <v>2200000</v>
      </c>
      <c r="G37" s="9">
        <f>D37*F37</f>
        <v/>
      </c>
    </row>
    <row r="38">
      <c r="A38" s="7" t="n">
        <v>4</v>
      </c>
      <c r="B38" s="8" t="inlineStr">
        <is>
          <t>UPS 1.000 VA</t>
        </is>
      </c>
      <c r="C38" s="8" t="inlineStr">
        <is>
          <t>hanya untuk kendali dan sensor</t>
        </is>
      </c>
      <c r="D38" s="7" t="n">
        <v>1</v>
      </c>
      <c r="E38" s="7" t="inlineStr">
        <is>
          <t>unit</t>
        </is>
      </c>
      <c r="F38" s="9" t="n">
        <v>1100000</v>
      </c>
      <c r="G38" s="9">
        <f>D38*F38</f>
        <v/>
      </c>
    </row>
    <row r="39">
      <c r="A39" s="7" t="n">
        <v>5</v>
      </c>
      <c r="B39" s="8" t="inlineStr">
        <is>
          <t>Peringatan otomatis saat data berhenti masuk</t>
        </is>
      </c>
      <c r="C39" s="8" t="inlineStr">
        <is>
          <t>layanan 12 bulan</t>
        </is>
      </c>
      <c r="D39" s="7" t="n">
        <v>1</v>
      </c>
      <c r="E39" s="7" t="inlineStr">
        <is>
          <t>paket</t>
        </is>
      </c>
      <c r="F39" s="9" t="n">
        <v>600000</v>
      </c>
      <c r="G39" s="9">
        <f>D39*F39</f>
        <v/>
      </c>
    </row>
    <row r="40">
      <c r="A40" s="7" t="n">
        <v>6</v>
      </c>
      <c r="B40" s="8" t="inlineStr">
        <is>
          <t>Timbangan digital 60 kg</t>
        </is>
      </c>
      <c r="C40" s="8" t="inlineStr">
        <is>
          <t>penimbangan setiap panen</t>
        </is>
      </c>
      <c r="D40" s="7" t="n">
        <v>1</v>
      </c>
      <c r="E40" s="7" t="inlineStr">
        <is>
          <t>unit</t>
        </is>
      </c>
      <c r="F40" s="9" t="n">
        <v>850000</v>
      </c>
      <c r="G40" s="9">
        <f>D40*F40</f>
        <v/>
      </c>
    </row>
    <row r="41">
      <c r="A41" s="7" t="n">
        <v>7</v>
      </c>
      <c r="B41" s="8" t="inlineStr">
        <is>
          <t>Papan data dan cetak format catatan</t>
        </is>
      </c>
      <c r="C41" s="8" t="inlineStr">
        <is>
          <t>dipasang di depan greenhouse</t>
        </is>
      </c>
      <c r="D41" s="7" t="n">
        <v>1</v>
      </c>
      <c r="E41" s="7" t="inlineStr">
        <is>
          <t>paket</t>
        </is>
      </c>
      <c r="F41" s="9" t="n">
        <v>550000</v>
      </c>
      <c r="G41" s="9">
        <f>D41*F41</f>
        <v/>
      </c>
    </row>
    <row r="42">
      <c r="A42" s="10" t="n"/>
      <c r="B42" s="11" t="n"/>
      <c r="C42" s="10" t="n"/>
      <c r="D42" s="10" t="n"/>
      <c r="E42" s="10" t="n"/>
      <c r="F42" s="10" t="n"/>
      <c r="G42" s="12">
        <f>SUM(G35:G41)</f>
        <v/>
      </c>
    </row>
    <row r="43">
      <c r="A43" s="5" t="inlineStr">
        <is>
          <t>F. Penanganan pascapanen sederhana</t>
        </is>
      </c>
      <c r="B43" s="6" t="n"/>
      <c r="C43" s="6" t="n"/>
      <c r="D43" s="6" t="n"/>
      <c r="E43" s="6" t="n"/>
      <c r="F43" s="6" t="n"/>
      <c r="G43" s="6" t="n"/>
    </row>
    <row r="44">
      <c r="A44" s="7" t="n">
        <v>1</v>
      </c>
      <c r="B44" s="8" t="inlineStr">
        <is>
          <t>Meja sortasi</t>
        </is>
      </c>
      <c r="C44" s="8" t="inlineStr">
        <is>
          <t>sayur daun hidroponik</t>
        </is>
      </c>
      <c r="D44" s="7" t="n">
        <v>1</v>
      </c>
      <c r="E44" s="7" t="inlineStr">
        <is>
          <t>unit</t>
        </is>
      </c>
      <c r="F44" s="9" t="n">
        <v>1750000</v>
      </c>
      <c r="G44" s="9">
        <f>D44*F44</f>
        <v/>
      </c>
    </row>
    <row r="45">
      <c r="A45" s="7" t="n">
        <v>2</v>
      </c>
      <c r="B45" s="8" t="inlineStr">
        <is>
          <t>Keranjang panen dan krat</t>
        </is>
      </c>
      <c r="C45" s="8" t="inlineStr">
        <is>
          <t>wadah angkut dan simpan</t>
        </is>
      </c>
      <c r="D45" s="7" t="n">
        <v>40</v>
      </c>
      <c r="E45" s="7" t="inlineStr">
        <is>
          <t>buah</t>
        </is>
      </c>
      <c r="F45" s="9" t="n">
        <v>55000</v>
      </c>
      <c r="G45" s="9">
        <f>D45*F45</f>
        <v/>
      </c>
    </row>
    <row r="46">
      <c r="A46" s="7" t="n">
        <v>3</v>
      </c>
      <c r="B46" s="8" t="inlineStr">
        <is>
          <t>Rak tiris dan area pengemasan</t>
        </is>
      </c>
      <c r="C46" s="8" t="inlineStr">
        <is>
          <t>rangka dan penutup</t>
        </is>
      </c>
      <c r="D46" s="7" t="n">
        <v>1</v>
      </c>
      <c r="E46" s="7" t="inlineStr">
        <is>
          <t>paket</t>
        </is>
      </c>
      <c r="F46" s="9" t="n">
        <v>2100000</v>
      </c>
      <c r="G46" s="9">
        <f>D46*F46</f>
        <v/>
      </c>
    </row>
    <row r="47">
      <c r="A47" s="7" t="n">
        <v>4</v>
      </c>
      <c r="B47" s="8" t="inlineStr">
        <is>
          <t>Sealer dan bahan kemas awal</t>
        </is>
      </c>
      <c r="C47" s="8" t="inlineStr">
        <is>
          <t>kemasan sayur segar</t>
        </is>
      </c>
      <c r="D47" s="7" t="n">
        <v>1</v>
      </c>
      <c r="E47" s="7" t="inlineStr">
        <is>
          <t>paket</t>
        </is>
      </c>
      <c r="F47" s="9" t="n">
        <v>1500000</v>
      </c>
      <c r="G47" s="9">
        <f>D47*F47</f>
        <v/>
      </c>
    </row>
    <row r="48">
      <c r="A48" s="10" t="n"/>
      <c r="B48" s="11" t="n"/>
      <c r="C48" s="10" t="n"/>
      <c r="D48" s="10" t="n"/>
      <c r="E48" s="10" t="n"/>
      <c r="F48" s="10" t="n"/>
      <c r="G48" s="12">
        <f>SUM(G44:G47)</f>
        <v/>
      </c>
    </row>
    <row r="49">
      <c r="A49" s="5" t="inlineStr">
        <is>
          <t>G. Pelatihan dan pendampingan</t>
        </is>
      </c>
      <c r="B49" s="6" t="n"/>
      <c r="C49" s="6" t="n"/>
      <c r="D49" s="6" t="n"/>
      <c r="E49" s="6" t="n"/>
      <c r="F49" s="6" t="n"/>
      <c r="G49" s="6" t="n"/>
    </row>
    <row r="50">
      <c r="A50" s="7" t="n">
        <v>1</v>
      </c>
      <c r="B50" s="8" t="inlineStr">
        <is>
          <t>Pelatihan pengelola 4 hari</t>
        </is>
      </c>
      <c r="C50" s="8" t="inlineStr">
        <is>
          <t>8 pengelola inti dan pengganti, seluruh anggota untuk dasar pencatatan</t>
        </is>
      </c>
      <c r="D50" s="7" t="n">
        <v>1</v>
      </c>
      <c r="E50" s="7" t="inlineStr">
        <is>
          <t>paket</t>
        </is>
      </c>
      <c r="F50" s="9" t="n">
        <v>4800000</v>
      </c>
      <c r="G50" s="9">
        <f>D50*F50</f>
        <v/>
      </c>
    </row>
    <row r="51">
      <c r="A51" s="7" t="n">
        <v>2</v>
      </c>
      <c r="B51" s="8" t="inlineStr">
        <is>
          <t>Modul dan panduan operasi cetak</t>
        </is>
      </c>
      <c r="C51" s="8" t="inlineStr">
        <is>
          <t>satu halaman per alat, bahasa sehari-hari</t>
        </is>
      </c>
      <c r="D51" s="7" t="n">
        <v>30</v>
      </c>
      <c r="E51" s="7" t="inlineStr">
        <is>
          <t>eksemplar</t>
        </is>
      </c>
      <c r="F51" s="9" t="n">
        <v>45000</v>
      </c>
      <c r="G51" s="9">
        <f>D51*F51</f>
        <v/>
      </c>
    </row>
    <row r="52">
      <c r="A52" s="7" t="n">
        <v>3</v>
      </c>
      <c r="B52" s="8" t="inlineStr">
        <is>
          <t>Kunjungan pendampingan</t>
        </is>
      </c>
      <c r="C52" s="8" t="inlineStr">
        <is>
          <t>4 kali selama program</t>
        </is>
      </c>
      <c r="D52" s="7" t="n">
        <v>4</v>
      </c>
      <c r="E52" s="7" t="inlineStr">
        <is>
          <t>kali</t>
        </is>
      </c>
      <c r="F52" s="9" t="n">
        <v>950000</v>
      </c>
      <c r="G52" s="9">
        <f>D52*F52</f>
        <v/>
      </c>
    </row>
    <row r="53">
      <c r="A53" s="7" t="n">
        <v>4</v>
      </c>
      <c r="B53" s="8" t="inlineStr">
        <is>
          <t>Musyawarah dan evaluasi bulanan</t>
        </is>
      </c>
      <c r="C53" s="8" t="inlineStr">
        <is>
          <t>9 pertemuan, konsumsi dan penggandaan</t>
        </is>
      </c>
      <c r="D53" s="7" t="n">
        <v>9</v>
      </c>
      <c r="E53" s="7" t="inlineStr">
        <is>
          <t>kali</t>
        </is>
      </c>
      <c r="F53" s="9" t="n">
        <v>215000</v>
      </c>
      <c r="G53" s="9">
        <f>D53*F53</f>
        <v/>
      </c>
    </row>
    <row r="54">
      <c r="A54" s="10" t="n"/>
      <c r="B54" s="11" t="n"/>
      <c r="C54" s="10" t="n"/>
      <c r="D54" s="10" t="n"/>
      <c r="E54" s="10" t="n"/>
      <c r="F54" s="10" t="n"/>
      <c r="G54" s="12">
        <f>SUM(G50:G53)</f>
        <v/>
      </c>
    </row>
    <row r="55">
      <c r="A55" s="5" t="inlineStr">
        <is>
          <t>H. Operasi tahun pertama</t>
        </is>
      </c>
      <c r="B55" s="6" t="n"/>
      <c r="C55" s="6" t="n"/>
      <c r="D55" s="6" t="n"/>
      <c r="E55" s="6" t="n"/>
      <c r="F55" s="6" t="n"/>
      <c r="G55" s="6" t="n"/>
    </row>
    <row r="56">
      <c r="A56" s="7" t="n">
        <v>1</v>
      </c>
      <c r="B56" s="8" t="inlineStr">
        <is>
          <t>Benih dan media semai</t>
        </is>
      </c>
      <c r="C56" s="8" t="inlineStr">
        <is>
          <t>4 siklus, 16 jalur</t>
        </is>
      </c>
      <c r="D56" s="7" t="n">
        <v>1</v>
      </c>
      <c r="E56" s="7" t="inlineStr">
        <is>
          <t>paket</t>
        </is>
      </c>
      <c r="F56" s="9" t="n">
        <v>3900000</v>
      </c>
      <c r="G56" s="9">
        <f>D56*F56</f>
        <v/>
      </c>
    </row>
    <row r="57">
      <c r="A57" s="7" t="n">
        <v>2</v>
      </c>
      <c r="B57" s="8" t="inlineStr">
        <is>
          <t>Nutrisi AB mix dan bahan pendukung</t>
        </is>
      </c>
      <c r="C57" s="8" t="inlineStr">
        <is>
          <t>4 siklus</t>
        </is>
      </c>
      <c r="D57" s="7" t="n">
        <v>1</v>
      </c>
      <c r="E57" s="7" t="inlineStr">
        <is>
          <t>paket</t>
        </is>
      </c>
      <c r="F57" s="9" t="n">
        <v>3600000</v>
      </c>
      <c r="G57" s="9">
        <f>D57*F57</f>
        <v/>
      </c>
    </row>
    <row r="58">
      <c r="A58" s="7" t="n">
        <v>3</v>
      </c>
      <c r="B58" s="8" t="inlineStr">
        <is>
          <t>Biaya listrik</t>
        </is>
      </c>
      <c r="C58" s="8" t="inlineStr">
        <is>
          <t>perkiraan 90 kWh per bulan, dihitung ulang setelah tambah daya</t>
        </is>
      </c>
      <c r="D58" s="7" t="n">
        <v>12</v>
      </c>
      <c r="E58" s="7" t="inlineStr">
        <is>
          <t>bulan</t>
        </is>
      </c>
      <c r="F58" s="9" t="n">
        <v>160000</v>
      </c>
      <c r="G58" s="9">
        <f>D58*F58</f>
        <v/>
      </c>
    </row>
    <row r="59">
      <c r="A59" s="7" t="n">
        <v>4</v>
      </c>
      <c r="B59" s="8" t="inlineStr">
        <is>
          <t>Suku cadang dan perawatan</t>
        </is>
      </c>
      <c r="C59" s="8" t="inlineStr">
        <is>
          <t>pompa, filter, nozzle, sensor cadangan</t>
        </is>
      </c>
      <c r="D59" s="7" t="n">
        <v>1</v>
      </c>
      <c r="E59" s="7" t="inlineStr">
        <is>
          <t>paket</t>
        </is>
      </c>
      <c r="F59" s="9" t="n">
        <v>1750000</v>
      </c>
      <c r="G59" s="9">
        <f>D59*F59</f>
        <v/>
      </c>
    </row>
    <row r="60">
      <c r="A60" s="7" t="n">
        <v>5</v>
      </c>
      <c r="B60" s="8" t="inlineStr">
        <is>
          <t>Pengendalian hama ramah lingkungan</t>
        </is>
      </c>
      <c r="C60" s="8" t="inlineStr">
        <is>
          <t>perangkap dan agens hayati</t>
        </is>
      </c>
      <c r="D60" s="7" t="n">
        <v>1</v>
      </c>
      <c r="E60" s="7" t="inlineStr">
        <is>
          <t>paket</t>
        </is>
      </c>
      <c r="F60" s="9" t="n">
        <v>1200000</v>
      </c>
      <c r="G60" s="9">
        <f>D60*F60</f>
        <v/>
      </c>
    </row>
    <row r="61">
      <c r="A61" s="10" t="n"/>
      <c r="B61" s="11" t="n"/>
      <c r="C61" s="10" t="n"/>
      <c r="D61" s="10" t="n"/>
      <c r="E61" s="10" t="n"/>
      <c r="F61" s="10" t="n"/>
      <c r="G61" s="12">
        <f>SUM(G56:G60)</f>
        <v/>
      </c>
    </row>
    <row r="62">
      <c r="A62" s="5" t="inlineStr">
        <is>
          <t>I. Pengukuran, dokumentasi, dan pelaporan</t>
        </is>
      </c>
      <c r="B62" s="6" t="n"/>
      <c r="C62" s="6" t="n"/>
      <c r="D62" s="6" t="n"/>
      <c r="E62" s="6" t="n"/>
      <c r="F62" s="6" t="n"/>
      <c r="G62" s="6" t="n"/>
    </row>
    <row r="63">
      <c r="A63" s="7" t="n">
        <v>1</v>
      </c>
      <c r="B63" s="8" t="inlineStr">
        <is>
          <t>Pencatatan kondisi awal 4 minggu</t>
        </is>
      </c>
      <c r="C63" s="8" t="inlineStr">
        <is>
          <t>sebelum pemasangan; transport, alat tulis, penggandaan</t>
        </is>
      </c>
      <c r="D63" s="7" t="n">
        <v>1</v>
      </c>
      <c r="E63" s="7" t="inlineStr">
        <is>
          <t>paket</t>
        </is>
      </c>
      <c r="F63" s="9" t="n">
        <v>1800000</v>
      </c>
      <c r="G63" s="9">
        <f>D63*F63</f>
        <v/>
      </c>
    </row>
    <row r="64">
      <c r="A64" s="7" t="n">
        <v>2</v>
      </c>
      <c r="B64" s="8" t="inlineStr">
        <is>
          <t>Penyusunan laporan pembuktian</t>
        </is>
      </c>
      <c r="C64" s="8" t="inlineStr">
        <is>
          <t>bulan ke-9, disusun bersama kelompok</t>
        </is>
      </c>
      <c r="D64" s="7" t="n">
        <v>1</v>
      </c>
      <c r="E64" s="7" t="inlineStr">
        <is>
          <t>paket</t>
        </is>
      </c>
      <c r="F64" s="9" t="n">
        <v>1700000</v>
      </c>
      <c r="G64" s="9">
        <f>D64*F64</f>
        <v/>
      </c>
    </row>
    <row r="65">
      <c r="A65" s="7" t="n">
        <v>3</v>
      </c>
      <c r="B65" s="8" t="inlineStr">
        <is>
          <t>Dokumentasi dan publikasi</t>
        </is>
      </c>
      <c r="C65" s="8" t="inlineStr">
        <is>
          <t>foto sebelum-sesudah, video pendek, publikasi program</t>
        </is>
      </c>
      <c r="D65" s="7" t="n">
        <v>1</v>
      </c>
      <c r="E65" s="7" t="inlineStr">
        <is>
          <t>paket</t>
        </is>
      </c>
      <c r="F65" s="9" t="n">
        <v>1800000</v>
      </c>
      <c r="G65" s="9">
        <f>D65*F65</f>
        <v/>
      </c>
    </row>
    <row r="66">
      <c r="A66" s="10" t="n"/>
      <c r="B66" s="11" t="n"/>
      <c r="C66" s="10" t="n"/>
      <c r="D66" s="10" t="n"/>
      <c r="E66" s="10" t="n"/>
      <c r="F66" s="10" t="n"/>
      <c r="G66" s="12">
        <f>SUM(G63:G65)</f>
        <v/>
      </c>
    </row>
    <row r="68">
      <c r="A68" s="13" t="n"/>
      <c r="B68" s="14" t="n"/>
      <c r="C68" s="13" t="n"/>
      <c r="D68" s="13" t="n"/>
      <c r="E68" s="13" t="n"/>
      <c r="F68" s="13" t="n"/>
      <c r="G68" s="15">
        <f>G11+G19+G26+G33+G42+G48+G54+G61+G66</f>
        <v/>
      </c>
    </row>
    <row r="70">
      <c r="A70" s="16" t="inlineStr">
        <is>
          <t>Kontribusi kelompok yang tidak dibiayai PLN (swadaya, bukan uang tunai):</t>
        </is>
      </c>
    </row>
    <row r="71">
      <c r="A71" s="3" t="inlineStr">
        <is>
          <t>1.  Lahan dan dua bangunan greenhouse (6 x 15 m dan 8 x 12 m) milik Kelompok Tani Taruna Tani “Hijaunya Cinta”.</t>
        </is>
      </c>
    </row>
    <row r="72">
      <c r="A72" s="3" t="inlineStr">
        <is>
          <t>2.  Kipas dan kendali pemberian nutrisi otomatis yang sudah terpasang dari program sebelumnya di lokasi (PLN Peduli 2024).</t>
        </is>
      </c>
    </row>
    <row r="73">
      <c r="A73" s="3" t="inlineStr">
        <is>
          <t>3.  Tenaga gotong royong anggota kelompok selama pemasangan dan pelengkapan jalur produksi.</t>
        </is>
      </c>
    </row>
    <row r="74">
      <c r="A74" s="3" t="inlineStr">
        <is>
          <t>4.  Pengelolaan harian, pencatatan, dan perawatan setelah serah terima, dibiayai dari kas perawatan kelompok.</t>
        </is>
      </c>
    </row>
    <row r="75">
      <c r="A75" s="3" t="inlineStr">
        <is>
          <t>5.  Dukungan Pemerintah Kalurahan Sriharjo dan Dukuh Sompok berupa perizinan dan mobilisasi warga.</t>
        </is>
      </c>
    </row>
    <row r="77">
      <c r="A77" s="17" t="inlineStr">
        <is>
          <t>Catatan:</t>
        </is>
      </c>
    </row>
    <row r="78">
      <c r="A78" s="18" t="inlineStr">
        <is>
          <t>1.  Harga satuan adalah perkiraan pasar Yogyakarta dan Bantul per September 2026; harga final mengikuti survei belanja saat pelaksanaan.</t>
        </is>
      </c>
    </row>
    <row r="79">
      <c r="A79" s="18" t="inlineStr">
        <is>
          <t>2.  Biaya penambahan daya mengikuti tarif resmi PLN dan hasil survei PLN UP3 Bantul, sehingga nilainya dapat berubah.</t>
        </is>
      </c>
    </row>
    <row r="80">
      <c r="A80" s="18" t="inlineStr">
        <is>
          <t>3.  Pencatatan kondisi awal dilaksanakan empat minggu sebelum pemasangan, sehingga seluruh perubahan dapat dibandingkan dengan angka awal.</t>
        </is>
      </c>
    </row>
    <row r="81">
      <c r="A81" s="18" t="inlineStr">
        <is>
          <t>4.  Suku cadang dipilih yang tersedia di Bantul dan Yogyakarta agar perawatan dapat dilanjutkan kelompok secara mandiri.</t>
        </is>
      </c>
    </row>
  </sheetData>
  <mergeCells count="34">
    <mergeCell ref="A54:F54"/>
    <mergeCell ref="A66:F66"/>
    <mergeCell ref="A4:G4"/>
    <mergeCell ref="A62:G62"/>
    <mergeCell ref="A20:G20"/>
    <mergeCell ref="A72:G72"/>
    <mergeCell ref="A43:G43"/>
    <mergeCell ref="A26:F26"/>
    <mergeCell ref="A81:G81"/>
    <mergeCell ref="A33:F33"/>
    <mergeCell ref="A42:F42"/>
    <mergeCell ref="A77:G77"/>
    <mergeCell ref="A34:G34"/>
    <mergeCell ref="A73:G73"/>
    <mergeCell ref="A49:G49"/>
    <mergeCell ref="A1:G1"/>
    <mergeCell ref="A70:G70"/>
    <mergeCell ref="A19:F19"/>
    <mergeCell ref="A68:F68"/>
    <mergeCell ref="A79:G79"/>
    <mergeCell ref="A78:G78"/>
    <mergeCell ref="A7:G7"/>
    <mergeCell ref="A48:F48"/>
    <mergeCell ref="A75:G75"/>
    <mergeCell ref="A11:F11"/>
    <mergeCell ref="A74:G74"/>
    <mergeCell ref="A80:G80"/>
    <mergeCell ref="A27:G27"/>
    <mergeCell ref="A3:G3"/>
    <mergeCell ref="A55:G55"/>
    <mergeCell ref="A12:G12"/>
    <mergeCell ref="A61:F61"/>
    <mergeCell ref="A2:G2"/>
    <mergeCell ref="A71:G7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2026-09-30T16:35:05Z</dcterms:created>
  <dcterms:modified xmlns:dcterms="http://purl.org/dc/terms/" xmlns:xsi="http://www.w3.org/2001/XMLSchema-instance" xsi:type="dcterms:W3CDTF">2026-09-30T16:35:05Z</dcterms:modified>
</cp:coreProperties>
</file>